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Supuestos" sheetId="2" state="visible" r:id="rId4"/>
    <sheet name="Comparacion" sheetId="3" state="visible" r:id="rId5"/>
    <sheet name="Punto_Indiferencia" sheetId="4" state="visible" r:id="rId6"/>
    <sheet name="Riesgos" sheetId="5" state="visible" r:id="rId7"/>
    <sheet name="Sensibilida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<sst xmlns="http://schemas.openxmlformats.org/spreadsheetml/2006/main" count="159" uniqueCount="149">
  <si>
    <t xml:space="preserve">MODELO ECONÓMICO · Propuesta del distribuidor de la costa del río Uruguay</t>
  </si>
  <si>
    <t xml:space="preserve">Qué es esto</t>
  </si>
  <si>
    <t xml:space="preserve">Un modelo para responder una sola pregunta: a qué markup y en qué condiciones esta operación deja de convenir. Todo está calculado con fórmulas: cambiás un supuesto y se recalcula solo.</t>
  </si>
  <si>
    <t xml:space="preserve">Estructura de precios que usa el modelo</t>
  </si>
  <si>
    <t xml:space="preserve">Todo se expresa como MARKUP SOBRE TU COSTO, que es como marcás vos. Compro a 100 y vendo a 112 = markup 12%. Los tres niveles cargados son: 15% directo a supermercado, 12% a tu mejor precio mayorista de hoy, y 10% que es lo que te dejaría este distribuidor.</t>
  </si>
  <si>
    <t xml:space="preserve">Cómo usarlo</t>
  </si>
  <si>
    <t xml:space="preserve">1. Ir a 'Supuestos'. Las celdas AZULES sobre FONDO AMARILLO son las únicas editables.</t>
  </si>
  <si>
    <t xml:space="preserve">2. Corregir los supuestos marcados como SUPUESTO, sobre todo el costo de servir (fila 24) y la facturación al resto de tus mayoristas (fila 36). Son los dos que más mueven el resultado.</t>
  </si>
  <si>
    <t xml:space="preserve">3. 'Comparacion': cuánto gano hoy con estas bocas vs. cuánto ganaría con la propuesta.</t>
  </si>
  <si>
    <t xml:space="preserve">4. 'Punto_Indiferencia': el markup mínimo que puedo aceptar, cuánto me deja la operación a precio mayorista pleno, y cuánto cobrar de fee si separo producto de servicio. Ese es el número que llevo a la reunión.</t>
  </si>
  <si>
    <t xml:space="preserve">5. 'Riesgos': exposición de cobranza y el efecto contagio sobre el resto de la lista.</t>
  </si>
  <si>
    <t xml:space="preserve">6. 'Sensibilidad': qué resultado da cada combinación de markup y costo de servir.</t>
  </si>
  <si>
    <t xml:space="preserve">Convención de colores</t>
  </si>
  <si>
    <t xml:space="preserve">Azul sobre amarillo = dato que cargo yo    |    Negro = fórmula    |    Verde = viene de otra hoja</t>
  </si>
  <si>
    <t xml:space="preserve">SUPUESTOS</t>
  </si>
  <si>
    <t xml:space="preserve">Editar solo las celdas azules sobre fondo amarillo.</t>
  </si>
  <si>
    <t xml:space="preserve">1. VOLUMEN Y BOCAS</t>
  </si>
  <si>
    <t xml:space="preserve">Cantidad de supermercados incluidos en la propuesta</t>
  </si>
  <si>
    <t xml:space="preserve">Dato tuyo</t>
  </si>
  <si>
    <t xml:space="preserve">De esos, cuántos ya me compran directo hoy</t>
  </si>
  <si>
    <t xml:space="preserve">SUPUESTO: dijiste 'algunos sí, otros no'. Ajustar.</t>
  </si>
  <si>
    <t xml:space="preserve">Volumen mensual de las 5 bocas, valuado a MI precio de venta directo ($/mes)</t>
  </si>
  <si>
    <t xml:space="preserve">Dato tuyo: es lo que vos les facturarías.</t>
  </si>
  <si>
    <t xml:space="preserve">Volumen promedio por boca ($/mes)</t>
  </si>
  <si>
    <t xml:space="preserve">Volumen que hoy ya facturo directo ($/mes)</t>
  </si>
  <si>
    <t xml:space="preserve">Volumen incremental que sumaría ($/mes)</t>
  </si>
  <si>
    <t xml:space="preserve">Lo único realmente nuevo del negocio.</t>
  </si>
  <si>
    <t xml:space="preserve">2. MÁRGENES  (markup sobre mi costo: compro a 100, vendo a 100 x (1+markup))</t>
  </si>
  <si>
    <t xml:space="preserve">Markup vendiendo DIRECTO a supermercado</t>
  </si>
  <si>
    <t xml:space="preserve">Dato tuyo.</t>
  </si>
  <si>
    <t xml:space="preserve">Markup de mi MEJOR precio mayorista hoy</t>
  </si>
  <si>
    <t xml:space="preserve">Dato tuyo: el 12% que marcás como mejor precio.</t>
  </si>
  <si>
    <t xml:space="preserve">Markup que me dejaría ESTE distribuidor</t>
  </si>
  <si>
    <t xml:space="preserve">Dato tuyo: 2 puntos por debajo del mejor mayorista.</t>
  </si>
  <si>
    <t xml:space="preserve">Costo de la mercadería de las 5 bocas ($/mes)</t>
  </si>
  <si>
    <t xml:space="preserve">Costo de la mercadería que hoy vendo directo ($/mes)</t>
  </si>
  <si>
    <t xml:space="preserve">Diferencia de markup vs. mi mejor mayorista (puntos)</t>
  </si>
  <si>
    <t xml:space="preserve">Caída de precio implícita vs. mi precio mayorista</t>
  </si>
  <si>
    <t xml:space="preserve">Esto es lo que realmente le estoy bajando el precio. Es el número que se contagia al resto del book.</t>
  </si>
  <si>
    <t xml:space="preserve">3. COSTO DE SERVIR  (el trabajo lo sigo haciendo yo)</t>
  </si>
  <si>
    <t xml:space="preserve">Visitas + entregas por boca por mes</t>
  </si>
  <si>
    <t xml:space="preserve">SUPUESTO: una por semana.</t>
  </si>
  <si>
    <t xml:space="preserve">Horas por visita (viaje, toma de pedido, armado, entrega, remito)</t>
  </si>
  <si>
    <t xml:space="preserve">SUPUESTO. Cronometrar una semana real: es el parámetro que más mueve el resultado.</t>
  </si>
  <si>
    <t xml:space="preserve">Costo por hora cargado ($/h: sueldo + cargas, o mi propio tiempo)</t>
  </si>
  <si>
    <t xml:space="preserve">SUPUESTO CRÍTICO. Ajustar a tu costo real 2026.</t>
  </si>
  <si>
    <t xml:space="preserve">Costo fijo por boca por mes (combustible, vehículo, administración) ($)</t>
  </si>
  <si>
    <t xml:space="preserve">SUPUESTO.</t>
  </si>
  <si>
    <t xml:space="preserve">Costo de servir por boca por mes ($)</t>
  </si>
  <si>
    <t xml:space="preserve">Costo de servir las 5 bocas ($/mes)</t>
  </si>
  <si>
    <t xml:space="preserve">Costo de servir las bocas que ya atiendo hoy ($/mes)</t>
  </si>
  <si>
    <t xml:space="preserve">4. FINANCIACIÓN Y COBRANZA</t>
  </si>
  <si>
    <t xml:space="preserve">Plazo de pago que propone el distribuidor (días)</t>
  </si>
  <si>
    <t xml:space="preserve">Plazo de pago actual de los supermercados directos (días)</t>
  </si>
  <si>
    <t xml:space="preserve">SUPUESTO: igual. Si hoy cobrás antes, bajarlo.</t>
  </si>
  <si>
    <t xml:space="preserve">Costo financiero mensual (%)</t>
  </si>
  <si>
    <t xml:space="preserve">SUPUESTO. Usar tu costo real de capital.</t>
  </si>
  <si>
    <t xml:space="preserve">5. RESTO DEL BOOK MAYORISTA  (riesgo de contagio de precio)</t>
  </si>
  <si>
    <t xml:space="preserve">Facturación mensual a mis otros mayoristas y distribuidoras ($/mes)</t>
  </si>
  <si>
    <t xml:space="preserve">SUPUESTO CRÍTICO. Poner tu número real: define si el contagio es tolerable o fatal.</t>
  </si>
  <si>
    <t xml:space="preserve">% de ese book que reclamaría paridad si se entera del precio</t>
  </si>
  <si>
    <t xml:space="preserve">SUPUESTO. En una plaza chica la información circula.</t>
  </si>
  <si>
    <t xml:space="preserve">HOY vs. PROPUESTA  ·  resultado mensual</t>
  </si>
  <si>
    <t xml:space="preserve">Concepto</t>
  </si>
  <si>
    <t xml:space="preserve">HOY (sin acuerdo)</t>
  </si>
  <si>
    <t xml:space="preserve">PROPUESTA (5 bocas vía distribuidor)</t>
  </si>
  <si>
    <t xml:space="preserve">Diferencia</t>
  </si>
  <si>
    <t xml:space="preserve">Bocas atendidas</t>
  </si>
  <si>
    <t xml:space="preserve">Costo de la mercadería ($/mes)</t>
  </si>
  <si>
    <t xml:space="preserve">Markup aplicado</t>
  </si>
  <si>
    <t xml:space="preserve">Facturación ($/mes)</t>
  </si>
  <si>
    <t xml:space="preserve">Margen bruto ($/mes)</t>
  </si>
  <si>
    <t xml:space="preserve">Margen bruto % sobre facturación</t>
  </si>
  <si>
    <t xml:space="preserve">Costo de servir ($/mes)</t>
  </si>
  <si>
    <t xml:space="preserve">Clave: el costo de servir NO baja. Sigo visitando, armando, entregando y presentando remitos igual que antes.</t>
  </si>
  <si>
    <t xml:space="preserve">Costo financiero del plazo ($/mes)</t>
  </si>
  <si>
    <t xml:space="preserve">RESULTADO OPERATIVO ($/mes)</t>
  </si>
  <si>
    <t xml:space="preserve">&lt;- Este es el número. Ojo: puede dar cerca de cero y aun así ser mal negocio, por lo que muestra la fila 16.</t>
  </si>
  <si>
    <t xml:space="preserve">Resultado anualizado ($)</t>
  </si>
  <si>
    <t xml:space="preserve">Horas mías por mes en estas bocas</t>
  </si>
  <si>
    <t xml:space="preserve">Resultado por hora trabajada ($/h)</t>
  </si>
  <si>
    <t xml:space="preserve">Margen bruto por hora trabajada ($/h)</t>
  </si>
  <si>
    <t xml:space="preserve">Test de escala: cuánto margen bruto genera cada hora que le dedico a estas bocas.</t>
  </si>
  <si>
    <t xml:space="preserve">PUNTO DE INDIFERENCIA · el número que llevo a la reunión</t>
  </si>
  <si>
    <t xml:space="preserve">A. DATOS DE PARTIDA</t>
  </si>
  <si>
    <t xml:space="preserve">Resultado que hoy obtengo de estas bocas ($/mes)</t>
  </si>
  <si>
    <t xml:space="preserve">Plazo de pago (días)</t>
  </si>
  <si>
    <t xml:space="preserve">Costo financiero del período (tasa x días/30)</t>
  </si>
  <si>
    <t xml:space="preserve">B. MARKUP MÍNIMO QUE PUEDO ACEPTAR</t>
  </si>
  <si>
    <t xml:space="preserve">Markup mínimo al distribuidor</t>
  </si>
  <si>
    <t xml:space="preserve">Markup al que la operación me deja exactamente lo mismo que gano hoy. Por debajo de esto, trabajo más para ganar menos.</t>
  </si>
  <si>
    <t xml:space="preserve">Markup que él ofrece</t>
  </si>
  <si>
    <t xml:space="preserve">Markup de mi mejor mayorista hoy</t>
  </si>
  <si>
    <t xml:space="preserve">BRECHA: lo que ofrece menos mi mínimo (puntos)</t>
  </si>
  <si>
    <t xml:space="preserve">Costo mensual de aceptar su markup ($/mes)</t>
  </si>
  <si>
    <t xml:space="preserve">Costo anual de aceptar su markup ($)</t>
  </si>
  <si>
    <t xml:space="preserve">C. QUÉ PASA SI LE COBRO MI PRECIO MAYORISTA PLENO (sin los 2 puntos)</t>
  </si>
  <si>
    <t xml:space="preserve">Facturación mensual ($)</t>
  </si>
  <si>
    <t xml:space="preserve">Costo financiero ($/mes)</t>
  </si>
  <si>
    <t xml:space="preserve">Resultado ($/mes)</t>
  </si>
  <si>
    <t xml:space="preserve">Diferencia contra lo que gano hoy ($/mes)</t>
  </si>
  <si>
    <t xml:space="preserve">Si esto da positivo, el negocio SÍ conviene: lo que no conviene son los 2 puntos.</t>
  </si>
  <si>
    <t xml:space="preserve">D. ESTRUCTURA RECOMENDADA: producto a precio mayorista + servicio facturado aparte</t>
  </si>
  <si>
    <t xml:space="preserve">No toco la lista de precios (cero contagio) y cobro por separado el trabajo de reposición.</t>
  </si>
  <si>
    <t xml:space="preserve">Margen que quiero sobre el servicio (%)</t>
  </si>
  <si>
    <t xml:space="preserve">Editable. Es un servicio, no una donación.</t>
  </si>
  <si>
    <t xml:space="preserve">FEE DE SERVICIO MENSUAL ($/mes)</t>
  </si>
  <si>
    <t xml:space="preserve">Fee por boca por mes ($)</t>
  </si>
  <si>
    <t xml:space="preserve">El número concreto para la mesa: 'el producto va a mi precio mayorista y la reposición la cobro a $X por boca por mes'.</t>
  </si>
  <si>
    <t xml:space="preserve">Fee por entrega ($)</t>
  </si>
  <si>
    <t xml:space="preserve">Fee como % de la facturación</t>
  </si>
  <si>
    <t xml:space="preserve">Resultado total con esta estructura ($/mes)</t>
  </si>
  <si>
    <t xml:space="preserve">COBRANZA, CONTAGIO DE PRECIO Y CONCENTRACIÓN</t>
  </si>
  <si>
    <t xml:space="preserve">A. EXPOSICIÓN DE COBRANZA</t>
  </si>
  <si>
    <t xml:space="preserve">Facturación mensual al distribuidor ($)</t>
  </si>
  <si>
    <t xml:space="preserve">Saldo expuesto a 15 días ($)</t>
  </si>
  <si>
    <t xml:space="preserve">Saldo expuesto si estira a 30 días ($)</t>
  </si>
  <si>
    <t xml:space="preserve">El plazo se estira después, no antes. Se acuerda a 15 días y a los 4 meses son 30. Para entonces ya perdí la relación directa con las bocas.</t>
  </si>
  <si>
    <t xml:space="preserve">Saldo expuesto si estira a 45 días ($)</t>
  </si>
  <si>
    <t xml:space="preserve">Saldo expuesto si estira a 60 días ($)</t>
  </si>
  <si>
    <t xml:space="preserve">Costo por cada 15 días de atraso ($/mes)</t>
  </si>
  <si>
    <t xml:space="preserve">B. CONTAGIO DE PRECIO AL RESTO DE LA LISTA</t>
  </si>
  <si>
    <t xml:space="preserve">Facturación mensual a otros mayoristas ($)</t>
  </si>
  <si>
    <t xml:space="preserve">% que reclamaría paridad</t>
  </si>
  <si>
    <t xml:space="preserve">Facturación expuesta al reclamo ($/mes)</t>
  </si>
  <si>
    <t xml:space="preserve">Costo de esa mercadería ($/mes)</t>
  </si>
  <si>
    <t xml:space="preserve">Margen que gano hoy sobre lo expuesto ($/mes)</t>
  </si>
  <si>
    <t xml:space="preserve">Margen si tengo que alinear al nuevo markup ($/mes)</t>
  </si>
  <si>
    <t xml:space="preserve">PÉRDIDA POR CONTAGIO ($/mes)</t>
  </si>
  <si>
    <t xml:space="preserve">Los 2 puntos no se pierden solo acá: se pierden en todo lo que después tenga que igualar. Y no vuelven.</t>
  </si>
  <si>
    <t xml:space="preserve">Pérdida por contagio anual ($)</t>
  </si>
  <si>
    <t xml:space="preserve">C. RESULTADO COMBINADO</t>
  </si>
  <si>
    <t xml:space="preserve">Efecto de la operación ($/mes)</t>
  </si>
  <si>
    <t xml:space="preserve">Efecto del contagio ($/mes)</t>
  </si>
  <si>
    <t xml:space="preserve">EFECTO TOTAL SOBRE MI RESULTADO ($/mes)</t>
  </si>
  <si>
    <t xml:space="preserve">EFECTO TOTAL ANUAL ($)</t>
  </si>
  <si>
    <t xml:space="preserve">D. CONCENTRACIÓN Y DEPENDENCIA</t>
  </si>
  <si>
    <t xml:space="preserve">Facturación total mensual estimada ($)</t>
  </si>
  <si>
    <t xml:space="preserve">% de mi facturación que pasaría por este cliente</t>
  </si>
  <si>
    <t xml:space="preserve">Arriba del 25% de concentración, el que fija las condiciones deja de ser el vendedor.</t>
  </si>
  <si>
    <t xml:space="preserve">Volumen que hoy facturo directo y quedaría en sus manos ($/mes)</t>
  </si>
  <si>
    <t xml:space="preserve">SENSIBILIDAD · Resultado mensual de la operación propuesta</t>
  </si>
  <si>
    <t xml:space="preserve">Filas: markup que me deja el distribuidor.  Columnas: costo de servir por boca por mes.</t>
  </si>
  <si>
    <t xml:space="preserve">Markup al distribuidor</t>
  </si>
  <si>
    <t xml:space="preserve">Referencias</t>
  </si>
  <si>
    <t xml:space="preserve">Toda celda de la tabla por debajo del valor de la fila 18 significa que la propuesta me deja peor que hoy.</t>
  </si>
  <si>
    <t xml:space="preserve">Mi markup mínimo aceptable</t>
  </si>
  <si>
    <t xml:space="preserve">Costo de servir real por boca ($/mes)</t>
  </si>
  <si>
    <t xml:space="preserve">Resultado que gano HOY con las bocas directas ($/mes)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</si>
</sst>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;&quot;($&quot;#,##0\);\-"/>
    <numFmt numFmtId="167" formatCode="0.0%;\(0.0%\);\-"/>
    <numFmt numFmtId="168" formatCode="0.00%;\(0.00%\);\-"/>
    <numFmt numFmtId="169" formatCode="#,##0.0;\(#,##0.0\);\-"/>
    <numFmt numFmtId="170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8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05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2"/>
    </row>
    <row r="5" customFormat="false" ht="15" hidden="false" customHeight="false" outlineLevel="0" collapsed="false">
      <c r="B5" s="3" t="s">
        <v>1</v>
      </c>
    </row>
    <row r="6" customFormat="false" ht="45.75" hidden="false" customHeight="true" outlineLevel="0" collapsed="false">
      <c r="B6" s="2" t="s">
        <v>2</v>
      </c>
    </row>
    <row r="7" customFormat="false" ht="15" hidden="false" customHeight="false" outlineLevel="0" collapsed="false">
      <c r="B7" s="2"/>
    </row>
    <row r="8" customFormat="false" ht="15" hidden="false" customHeight="false" outlineLevel="0" collapsed="false">
      <c r="B8" s="3" t="s">
        <v>3</v>
      </c>
    </row>
    <row r="9" customFormat="false" ht="45.75" hidden="false" customHeight="true" outlineLevel="0" collapsed="false">
      <c r="B9" s="2" t="s">
        <v>4</v>
      </c>
    </row>
    <row r="10" customFormat="false" ht="15" hidden="false" customHeight="false" outlineLevel="0" collapsed="false">
      <c r="B10" s="2"/>
    </row>
    <row r="11" customFormat="false" ht="15" hidden="false" customHeight="false" outlineLevel="0" collapsed="false">
      <c r="B11" s="3" t="s">
        <v>5</v>
      </c>
    </row>
    <row r="12" customFormat="false" ht="15" hidden="false" customHeight="false" outlineLevel="0" collapsed="false">
      <c r="B12" s="2" t="s">
        <v>6</v>
      </c>
    </row>
    <row r="13" customFormat="false" ht="45.75" hidden="false" customHeight="true" outlineLevel="0" collapsed="false">
      <c r="B13" s="2" t="s">
        <v>7</v>
      </c>
    </row>
    <row r="14" customFormat="false" ht="15" hidden="false" customHeight="false" outlineLevel="0" collapsed="false">
      <c r="B14" s="2" t="s">
        <v>8</v>
      </c>
    </row>
    <row r="15" customFormat="false" ht="45.75" hidden="false" customHeight="true" outlineLevel="0" collapsed="false">
      <c r="B15" s="2" t="s">
        <v>9</v>
      </c>
    </row>
    <row r="16" customFormat="false" ht="15" hidden="false" customHeight="false" outlineLevel="0" collapsed="false">
      <c r="B16" s="2" t="s">
        <v>10</v>
      </c>
    </row>
    <row r="17" customFormat="false" ht="15" hidden="false" customHeight="false" outlineLevel="0" collapsed="false">
      <c r="B17" s="2" t="s">
        <v>11</v>
      </c>
    </row>
    <row r="18" customFormat="false" ht="15" hidden="false" customHeight="false" outlineLevel="0" collapsed="false">
      <c r="B18" s="2"/>
    </row>
    <row r="19" customFormat="false" ht="15" hidden="false" customHeight="false" outlineLevel="0" collapsed="false">
      <c r="B19" s="3" t="s">
        <v>12</v>
      </c>
    </row>
    <row r="20" customFormat="false" ht="45.75" hidden="false" customHeight="true" outlineLevel="0" collapsed="false">
      <c r="B20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4" t="s">
        <v>15</v>
      </c>
    </row>
    <row r="4" customFormat="false" ht="15" hidden="false" customHeight="false" outlineLevel="0" collapsed="false">
      <c r="A4" s="5" t="s">
        <v>16</v>
      </c>
      <c r="B4" s="5"/>
      <c r="C4" s="5"/>
      <c r="D4" s="5"/>
    </row>
    <row r="5" customFormat="false" ht="15" hidden="false" customHeight="false" outlineLevel="0" collapsed="false">
      <c r="A5" s="6" t="s">
        <v>17</v>
      </c>
      <c r="B5" s="7" t="n">
        <v>5</v>
      </c>
      <c r="C5" s="8" t="s">
        <v>18</v>
      </c>
    </row>
    <row r="6" customFormat="false" ht="15" hidden="false" customHeight="false" outlineLevel="0" collapsed="false">
      <c r="A6" s="6" t="s">
        <v>19</v>
      </c>
      <c r="B6" s="7" t="n">
        <v>2</v>
      </c>
      <c r="C6" s="8" t="s">
        <v>20</v>
      </c>
    </row>
    <row r="7" customFormat="false" ht="27.75" hidden="false" customHeight="true" outlineLevel="0" collapsed="false">
      <c r="A7" s="6" t="s">
        <v>21</v>
      </c>
      <c r="B7" s="9" t="n">
        <v>5000000</v>
      </c>
      <c r="C7" s="8" t="s">
        <v>22</v>
      </c>
    </row>
    <row r="8" customFormat="false" ht="15" hidden="false" customHeight="false" outlineLevel="0" collapsed="false">
      <c r="A8" s="6" t="s">
        <v>23</v>
      </c>
      <c r="B8" s="10" t="n">
        <f aca="false">B7/B5</f>
        <v>1000000</v>
      </c>
    </row>
    <row r="9" customFormat="false" ht="15" hidden="false" customHeight="false" outlineLevel="0" collapsed="false">
      <c r="A9" s="6" t="s">
        <v>24</v>
      </c>
      <c r="B9" s="10" t="n">
        <f aca="false">B8*B6</f>
        <v>2000000</v>
      </c>
    </row>
    <row r="10" customFormat="false" ht="15" hidden="false" customHeight="false" outlineLevel="0" collapsed="false">
      <c r="A10" s="6" t="s">
        <v>25</v>
      </c>
      <c r="B10" s="10" t="n">
        <f aca="false">B7-B9</f>
        <v>3000000</v>
      </c>
      <c r="C10" s="8" t="s">
        <v>26</v>
      </c>
    </row>
    <row r="12" customFormat="false" ht="27.75" hidden="false" customHeight="true" outlineLevel="0" collapsed="false">
      <c r="A12" s="5" t="s">
        <v>27</v>
      </c>
      <c r="B12" s="5"/>
      <c r="C12" s="5"/>
      <c r="D12" s="5"/>
    </row>
    <row r="13" customFormat="false" ht="15" hidden="false" customHeight="false" outlineLevel="0" collapsed="false">
      <c r="A13" s="6" t="s">
        <v>28</v>
      </c>
      <c r="B13" s="11" t="n">
        <v>0.15</v>
      </c>
      <c r="C13" s="8" t="s">
        <v>29</v>
      </c>
    </row>
    <row r="14" customFormat="false" ht="15" hidden="false" customHeight="false" outlineLevel="0" collapsed="false">
      <c r="A14" s="6" t="s">
        <v>30</v>
      </c>
      <c r="B14" s="11" t="n">
        <v>0.12</v>
      </c>
      <c r="C14" s="8" t="s">
        <v>31</v>
      </c>
    </row>
    <row r="15" customFormat="false" ht="15" hidden="false" customHeight="false" outlineLevel="0" collapsed="false">
      <c r="A15" s="6" t="s">
        <v>32</v>
      </c>
      <c r="B15" s="11" t="n">
        <v>0.1</v>
      </c>
      <c r="C15" s="8" t="s">
        <v>33</v>
      </c>
    </row>
    <row r="16" customFormat="false" ht="15" hidden="false" customHeight="false" outlineLevel="0" collapsed="false">
      <c r="A16" s="6" t="s">
        <v>34</v>
      </c>
      <c r="B16" s="10" t="n">
        <f aca="false">B7/(1+B13)</f>
        <v>4347826.08695652</v>
      </c>
    </row>
    <row r="17" customFormat="false" ht="15" hidden="false" customHeight="false" outlineLevel="0" collapsed="false">
      <c r="A17" s="6" t="s">
        <v>35</v>
      </c>
      <c r="B17" s="10" t="n">
        <f aca="false">B9/(1+B13)</f>
        <v>1739130.43478261</v>
      </c>
    </row>
    <row r="18" customFormat="false" ht="15" hidden="false" customHeight="false" outlineLevel="0" collapsed="false">
      <c r="A18" s="6" t="s">
        <v>36</v>
      </c>
      <c r="B18" s="12" t="n">
        <f aca="false">B15-B14</f>
        <v>-0.02</v>
      </c>
    </row>
    <row r="19" customFormat="false" ht="22.35" hidden="false" customHeight="false" outlineLevel="0" collapsed="false">
      <c r="A19" s="13" t="s">
        <v>37</v>
      </c>
      <c r="B19" s="14" t="n">
        <f aca="false">(1+B15)/(1+B14)-1</f>
        <v>-0.0178571428571429</v>
      </c>
      <c r="C19" s="8" t="s">
        <v>38</v>
      </c>
    </row>
    <row r="21" customFormat="false" ht="15" hidden="false" customHeight="false" outlineLevel="0" collapsed="false">
      <c r="A21" s="5" t="s">
        <v>39</v>
      </c>
      <c r="B21" s="5"/>
      <c r="C21" s="5"/>
      <c r="D21" s="5"/>
    </row>
    <row r="22" customFormat="false" ht="15" hidden="false" customHeight="false" outlineLevel="0" collapsed="false">
      <c r="A22" s="6" t="s">
        <v>40</v>
      </c>
      <c r="B22" s="15" t="n">
        <v>4</v>
      </c>
      <c r="C22" s="8" t="s">
        <v>41</v>
      </c>
    </row>
    <row r="23" customFormat="false" ht="27.75" hidden="false" customHeight="true" outlineLevel="0" collapsed="false">
      <c r="A23" s="6" t="s">
        <v>42</v>
      </c>
      <c r="B23" s="15" t="n">
        <v>1.5</v>
      </c>
      <c r="C23" s="8" t="s">
        <v>43</v>
      </c>
    </row>
    <row r="24" customFormat="false" ht="27.75" hidden="false" customHeight="true" outlineLevel="0" collapsed="false">
      <c r="A24" s="6" t="s">
        <v>44</v>
      </c>
      <c r="B24" s="9" t="n">
        <v>7000</v>
      </c>
      <c r="C24" s="8" t="s">
        <v>45</v>
      </c>
    </row>
    <row r="25" customFormat="false" ht="27.75" hidden="false" customHeight="true" outlineLevel="0" collapsed="false">
      <c r="A25" s="6" t="s">
        <v>46</v>
      </c>
      <c r="B25" s="9" t="n">
        <v>8000</v>
      </c>
      <c r="C25" s="8" t="s">
        <v>47</v>
      </c>
    </row>
    <row r="26" customFormat="false" ht="15" hidden="false" customHeight="false" outlineLevel="0" collapsed="false">
      <c r="A26" s="6" t="s">
        <v>48</v>
      </c>
      <c r="B26" s="10" t="n">
        <f aca="false">B22*B23*B24+B25</f>
        <v>50000</v>
      </c>
    </row>
    <row r="27" customFormat="false" ht="15" hidden="false" customHeight="false" outlineLevel="0" collapsed="false">
      <c r="A27" s="6" t="s">
        <v>49</v>
      </c>
      <c r="B27" s="10" t="n">
        <f aca="false">B26*B5</f>
        <v>250000</v>
      </c>
    </row>
    <row r="28" customFormat="false" ht="15" hidden="false" customHeight="false" outlineLevel="0" collapsed="false">
      <c r="A28" s="6" t="s">
        <v>50</v>
      </c>
      <c r="B28" s="10" t="n">
        <f aca="false">B26*B6</f>
        <v>100000</v>
      </c>
    </row>
    <row r="30" customFormat="false" ht="15" hidden="false" customHeight="false" outlineLevel="0" collapsed="false">
      <c r="A30" s="5" t="s">
        <v>51</v>
      </c>
      <c r="B30" s="5"/>
      <c r="C30" s="5"/>
      <c r="D30" s="5"/>
    </row>
    <row r="31" customFormat="false" ht="15" hidden="false" customHeight="false" outlineLevel="0" collapsed="false">
      <c r="A31" s="6" t="s">
        <v>52</v>
      </c>
      <c r="B31" s="7" t="n">
        <v>15</v>
      </c>
      <c r="C31" s="8" t="s">
        <v>29</v>
      </c>
    </row>
    <row r="32" customFormat="false" ht="15" hidden="false" customHeight="false" outlineLevel="0" collapsed="false">
      <c r="A32" s="6" t="s">
        <v>53</v>
      </c>
      <c r="B32" s="7" t="n">
        <v>15</v>
      </c>
      <c r="C32" s="8" t="s">
        <v>54</v>
      </c>
    </row>
    <row r="33" customFormat="false" ht="15" hidden="false" customHeight="false" outlineLevel="0" collapsed="false">
      <c r="A33" s="6" t="s">
        <v>55</v>
      </c>
      <c r="B33" s="11" t="n">
        <v>0.035</v>
      </c>
      <c r="C33" s="8" t="s">
        <v>56</v>
      </c>
    </row>
    <row r="35" customFormat="false" ht="15" hidden="false" customHeight="false" outlineLevel="0" collapsed="false">
      <c r="A35" s="5" t="s">
        <v>57</v>
      </c>
      <c r="B35" s="5"/>
      <c r="C35" s="5"/>
      <c r="D35" s="5"/>
    </row>
    <row r="36" customFormat="false" ht="27.75" hidden="false" customHeight="true" outlineLevel="0" collapsed="false">
      <c r="A36" s="6" t="s">
        <v>58</v>
      </c>
      <c r="B36" s="9" t="n">
        <v>15000000</v>
      </c>
      <c r="C36" s="8" t="s">
        <v>59</v>
      </c>
    </row>
    <row r="37" customFormat="false" ht="15" hidden="false" customHeight="false" outlineLevel="0" collapsed="false">
      <c r="A37" s="6" t="s">
        <v>60</v>
      </c>
      <c r="B37" s="11" t="n">
        <v>0.6</v>
      </c>
      <c r="C37" s="8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20"/>
    <col collapsed="false" customWidth="true" hidden="false" outlineLevel="0" max="5" min="5" style="0" width="52"/>
  </cols>
  <sheetData>
    <row r="1" customFormat="false" ht="17.35" hidden="false" customHeight="false" outlineLevel="0" collapsed="false">
      <c r="A1" s="1" t="s">
        <v>62</v>
      </c>
    </row>
    <row r="3" customFormat="false" ht="31.5" hidden="false" customHeight="true" outlineLevel="0" collapsed="false">
      <c r="A3" s="16" t="s">
        <v>63</v>
      </c>
      <c r="B3" s="16" t="s">
        <v>64</v>
      </c>
      <c r="C3" s="16" t="s">
        <v>65</v>
      </c>
      <c r="D3" s="16" t="s">
        <v>66</v>
      </c>
    </row>
    <row r="4" customFormat="false" ht="15" hidden="false" customHeight="false" outlineLevel="0" collapsed="false">
      <c r="A4" s="6" t="s">
        <v>67</v>
      </c>
      <c r="B4" s="17" t="n">
        <f aca="false">Supuestos!B6</f>
        <v>2</v>
      </c>
      <c r="C4" s="17" t="n">
        <f aca="false">Supuestos!B5</f>
        <v>5</v>
      </c>
      <c r="D4" s="18" t="n">
        <f aca="false">C4-B4</f>
        <v>3</v>
      </c>
    </row>
    <row r="5" customFormat="false" ht="15" hidden="false" customHeight="false" outlineLevel="0" collapsed="false">
      <c r="A5" s="6" t="s">
        <v>68</v>
      </c>
      <c r="B5" s="19" t="n">
        <f aca="false">Supuestos!B17</f>
        <v>1739130.43478261</v>
      </c>
      <c r="C5" s="19" t="n">
        <f aca="false">Supuestos!B16</f>
        <v>4347826.08695652</v>
      </c>
      <c r="D5" s="10" t="n">
        <f aca="false">C5-B5</f>
        <v>2608695.65217391</v>
      </c>
    </row>
    <row r="6" customFormat="false" ht="15" hidden="false" customHeight="false" outlineLevel="0" collapsed="false">
      <c r="A6" s="6" t="s">
        <v>69</v>
      </c>
      <c r="B6" s="20" t="n">
        <f aca="false">Supuestos!B13</f>
        <v>0.15</v>
      </c>
      <c r="C6" s="20" t="n">
        <f aca="false">Supuestos!B15</f>
        <v>0.1</v>
      </c>
      <c r="D6" s="21" t="n">
        <f aca="false">C6-B6</f>
        <v>-0.05</v>
      </c>
    </row>
    <row r="7" customFormat="false" ht="15" hidden="false" customHeight="false" outlineLevel="0" collapsed="false">
      <c r="A7" s="6" t="s">
        <v>70</v>
      </c>
      <c r="B7" s="10" t="n">
        <f aca="false">B5*(1+B6)</f>
        <v>2000000</v>
      </c>
      <c r="C7" s="10" t="n">
        <f aca="false">C5*(1+C6)</f>
        <v>4782608.69565218</v>
      </c>
      <c r="D7" s="10" t="n">
        <f aca="false">C7-B7</f>
        <v>2782608.69565217</v>
      </c>
    </row>
    <row r="8" customFormat="false" ht="15" hidden="false" customHeight="false" outlineLevel="0" collapsed="false">
      <c r="A8" s="6" t="s">
        <v>71</v>
      </c>
      <c r="B8" s="10" t="n">
        <f aca="false">B5*B6</f>
        <v>260869.565217391</v>
      </c>
      <c r="C8" s="10" t="n">
        <f aca="false">C5*C6</f>
        <v>434782.608695652</v>
      </c>
      <c r="D8" s="10" t="n">
        <f aca="false">C8-B8</f>
        <v>173913.043478261</v>
      </c>
    </row>
    <row r="9" customFormat="false" ht="15" hidden="false" customHeight="false" outlineLevel="0" collapsed="false">
      <c r="A9" s="6" t="s">
        <v>72</v>
      </c>
      <c r="B9" s="21" t="n">
        <f aca="false">IF(B7=0,0,B8/B7)</f>
        <v>0.130434782608696</v>
      </c>
      <c r="C9" s="21" t="n">
        <f aca="false">IF(C7=0,0,C8/C7)</f>
        <v>0.0909090909090909</v>
      </c>
      <c r="D9" s="21" t="n">
        <f aca="false">C9-B9</f>
        <v>-0.0395256916996048</v>
      </c>
    </row>
    <row r="10" customFormat="false" ht="31.5" hidden="false" customHeight="true" outlineLevel="0" collapsed="false">
      <c r="A10" s="6" t="s">
        <v>73</v>
      </c>
      <c r="B10" s="19" t="n">
        <f aca="false">Supuestos!B28</f>
        <v>100000</v>
      </c>
      <c r="C10" s="19" t="n">
        <f aca="false">Supuestos!B27</f>
        <v>250000</v>
      </c>
      <c r="D10" s="10" t="n">
        <f aca="false">C10-B10</f>
        <v>150000</v>
      </c>
      <c r="E10" s="8" t="s">
        <v>74</v>
      </c>
    </row>
    <row r="11" customFormat="false" ht="15" hidden="false" customHeight="false" outlineLevel="0" collapsed="false">
      <c r="A11" s="6" t="s">
        <v>75</v>
      </c>
      <c r="B11" s="10" t="n">
        <f aca="false">B7*Supuestos!$B$33*Supuestos!$B$32/30</f>
        <v>35000</v>
      </c>
      <c r="C11" s="10" t="n">
        <f aca="false">C7*Supuestos!$B$33*Supuestos!$B$31/30</f>
        <v>83695.6521739131</v>
      </c>
      <c r="D11" s="10" t="n">
        <f aca="false">C11-B11</f>
        <v>48695.6521739131</v>
      </c>
    </row>
    <row r="12" customFormat="false" ht="31.5" hidden="false" customHeight="true" outlineLevel="0" collapsed="false">
      <c r="A12" s="22" t="s">
        <v>76</v>
      </c>
      <c r="B12" s="23" t="n">
        <f aca="false">B8-B10-B11</f>
        <v>125869.565217391</v>
      </c>
      <c r="C12" s="23" t="n">
        <f aca="false">C8-C10-C11</f>
        <v>101086.956521739</v>
      </c>
      <c r="D12" s="23" t="n">
        <f aca="false">C12-B12</f>
        <v>-24782.6086956521</v>
      </c>
      <c r="E12" s="8" t="s">
        <v>77</v>
      </c>
    </row>
    <row r="13" customFormat="false" ht="15" hidden="false" customHeight="false" outlineLevel="0" collapsed="false">
      <c r="A13" s="13" t="s">
        <v>78</v>
      </c>
      <c r="B13" s="24" t="n">
        <f aca="false">B12*12</f>
        <v>1510434.7826087</v>
      </c>
      <c r="C13" s="24" t="n">
        <f aca="false">C12*12</f>
        <v>1213043.47826087</v>
      </c>
      <c r="D13" s="24" t="n">
        <f aca="false">D12*12</f>
        <v>-297391.304347825</v>
      </c>
    </row>
    <row r="15" customFormat="false" ht="15" hidden="false" customHeight="false" outlineLevel="0" collapsed="false">
      <c r="A15" s="6" t="s">
        <v>79</v>
      </c>
      <c r="B15" s="25" t="n">
        <f aca="false">Supuestos!B6*Supuestos!B22*Supuestos!B23</f>
        <v>12</v>
      </c>
      <c r="C15" s="25" t="n">
        <f aca="false">Supuestos!B5*Supuestos!B22*Supuestos!B23</f>
        <v>30</v>
      </c>
      <c r="D15" s="25" t="n">
        <f aca="false">C15-B15</f>
        <v>18</v>
      </c>
    </row>
    <row r="16" customFormat="false" ht="15" hidden="false" customHeight="false" outlineLevel="0" collapsed="false">
      <c r="A16" s="6" t="s">
        <v>80</v>
      </c>
      <c r="B16" s="10" t="n">
        <f aca="false">IF(B15=0,0,B12/B15)</f>
        <v>10489.1304347826</v>
      </c>
      <c r="C16" s="10" t="n">
        <f aca="false">IF(C15=0,0,C12/C15)</f>
        <v>3369.56521739131</v>
      </c>
      <c r="D16" s="10" t="n">
        <f aca="false">C16-B16</f>
        <v>-7119.5652173913</v>
      </c>
    </row>
    <row r="17" customFormat="false" ht="31.5" hidden="false" customHeight="true" outlineLevel="0" collapsed="false">
      <c r="A17" s="6" t="s">
        <v>81</v>
      </c>
      <c r="B17" s="10" t="n">
        <f aca="false">IF(B15=0,0,B8/B15)</f>
        <v>21739.1304347826</v>
      </c>
      <c r="C17" s="10" t="n">
        <f aca="false">IF(C15=0,0,C8/C15)</f>
        <v>14492.7536231884</v>
      </c>
      <c r="D17" s="10" t="n">
        <f aca="false">C17-B17</f>
        <v>-7246.3768115942</v>
      </c>
      <c r="E17" s="8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1" t="s">
        <v>83</v>
      </c>
    </row>
    <row r="3" customFormat="false" ht="15" hidden="false" customHeight="false" outlineLevel="0" collapsed="false">
      <c r="A3" s="5" t="s">
        <v>84</v>
      </c>
      <c r="B3" s="5"/>
      <c r="C3" s="5"/>
      <c r="D3" s="5"/>
    </row>
    <row r="4" customFormat="false" ht="15" hidden="false" customHeight="false" outlineLevel="0" collapsed="false">
      <c r="A4" s="6" t="s">
        <v>85</v>
      </c>
      <c r="B4" s="19" t="n">
        <f aca="false">Comparacion!B12</f>
        <v>125869.565217391</v>
      </c>
    </row>
    <row r="5" customFormat="false" ht="15" hidden="false" customHeight="false" outlineLevel="0" collapsed="false">
      <c r="A5" s="6" t="s">
        <v>49</v>
      </c>
      <c r="B5" s="19" t="n">
        <f aca="false">Supuestos!B27</f>
        <v>250000</v>
      </c>
    </row>
    <row r="6" customFormat="false" ht="15" hidden="false" customHeight="false" outlineLevel="0" collapsed="false">
      <c r="A6" s="6" t="s">
        <v>34</v>
      </c>
      <c r="B6" s="19" t="n">
        <f aca="false">Supuestos!B16</f>
        <v>4347826.08695652</v>
      </c>
    </row>
    <row r="7" customFormat="false" ht="15" hidden="false" customHeight="false" outlineLevel="0" collapsed="false">
      <c r="A7" s="6" t="s">
        <v>86</v>
      </c>
      <c r="B7" s="17" t="n">
        <f aca="false">Supuestos!B31</f>
        <v>15</v>
      </c>
    </row>
    <row r="8" customFormat="false" ht="15" hidden="false" customHeight="false" outlineLevel="0" collapsed="false">
      <c r="A8" s="6" t="s">
        <v>55</v>
      </c>
      <c r="B8" s="20" t="n">
        <f aca="false">Supuestos!B33</f>
        <v>0.035</v>
      </c>
    </row>
    <row r="9" customFormat="false" ht="15" hidden="false" customHeight="false" outlineLevel="0" collapsed="false">
      <c r="A9" s="6" t="s">
        <v>87</v>
      </c>
      <c r="B9" s="26" t="n">
        <f aca="false">B8*B7/30</f>
        <v>0.0175</v>
      </c>
    </row>
    <row r="11" customFormat="false" ht="15" hidden="false" customHeight="false" outlineLevel="0" collapsed="false">
      <c r="A11" s="5" t="s">
        <v>88</v>
      </c>
      <c r="B11" s="5"/>
      <c r="C11" s="5"/>
      <c r="D11" s="5"/>
    </row>
    <row r="12" customFormat="false" ht="30" hidden="false" customHeight="true" outlineLevel="0" collapsed="false">
      <c r="A12" s="13" t="s">
        <v>89</v>
      </c>
      <c r="B12" s="14" t="n">
        <f aca="false">(B4+B5+B6*B9)/(B6*(1-B9))</f>
        <v>0.105801526717557</v>
      </c>
      <c r="C12" s="8" t="s">
        <v>90</v>
      </c>
    </row>
    <row r="13" customFormat="false" ht="15" hidden="false" customHeight="false" outlineLevel="0" collapsed="false">
      <c r="A13" s="6" t="s">
        <v>91</v>
      </c>
      <c r="B13" s="27" t="n">
        <f aca="false">Supuestos!B15</f>
        <v>0.1</v>
      </c>
    </row>
    <row r="14" customFormat="false" ht="15" hidden="false" customHeight="false" outlineLevel="0" collapsed="false">
      <c r="A14" s="6" t="s">
        <v>92</v>
      </c>
      <c r="B14" s="27" t="n">
        <f aca="false">Supuestos!B14</f>
        <v>0.12</v>
      </c>
    </row>
    <row r="15" customFormat="false" ht="15" hidden="false" customHeight="false" outlineLevel="0" collapsed="false">
      <c r="A15" s="13" t="s">
        <v>93</v>
      </c>
      <c r="B15" s="14" t="n">
        <f aca="false">B13-B12</f>
        <v>-0.00580152671755725</v>
      </c>
    </row>
    <row r="16" customFormat="false" ht="15" hidden="false" customHeight="false" outlineLevel="0" collapsed="false">
      <c r="A16" s="13" t="s">
        <v>94</v>
      </c>
      <c r="B16" s="23" t="n">
        <f aca="false">Comparacion!D12</f>
        <v>-24782.6086956521</v>
      </c>
    </row>
    <row r="17" customFormat="false" ht="15" hidden="false" customHeight="false" outlineLevel="0" collapsed="false">
      <c r="A17" s="13" t="s">
        <v>95</v>
      </c>
      <c r="B17" s="23" t="n">
        <f aca="false">B16*12</f>
        <v>-297391.304347825</v>
      </c>
    </row>
    <row r="19" customFormat="false" ht="15" hidden="false" customHeight="false" outlineLevel="0" collapsed="false">
      <c r="A19" s="5" t="s">
        <v>96</v>
      </c>
      <c r="B19" s="5"/>
      <c r="C19" s="5"/>
      <c r="D19" s="5"/>
    </row>
    <row r="20" customFormat="false" ht="15" hidden="false" customHeight="false" outlineLevel="0" collapsed="false">
      <c r="A20" s="6" t="s">
        <v>97</v>
      </c>
      <c r="B20" s="10" t="n">
        <f aca="false">B6*(1+Supuestos!B14)</f>
        <v>4869565.21739131</v>
      </c>
    </row>
    <row r="21" customFormat="false" ht="15" hidden="false" customHeight="false" outlineLevel="0" collapsed="false">
      <c r="A21" s="6" t="s">
        <v>71</v>
      </c>
      <c r="B21" s="10" t="n">
        <f aca="false">B6*Supuestos!B14</f>
        <v>521739.130434783</v>
      </c>
    </row>
    <row r="22" customFormat="false" ht="15" hidden="false" customHeight="false" outlineLevel="0" collapsed="false">
      <c r="A22" s="6" t="s">
        <v>73</v>
      </c>
      <c r="B22" s="10" t="n">
        <f aca="false">B5</f>
        <v>250000</v>
      </c>
    </row>
    <row r="23" customFormat="false" ht="15" hidden="false" customHeight="false" outlineLevel="0" collapsed="false">
      <c r="A23" s="6" t="s">
        <v>98</v>
      </c>
      <c r="B23" s="10" t="n">
        <f aca="false">B20*B9</f>
        <v>85217.3913043479</v>
      </c>
    </row>
    <row r="24" customFormat="false" ht="15" hidden="false" customHeight="false" outlineLevel="0" collapsed="false">
      <c r="A24" s="13" t="s">
        <v>99</v>
      </c>
      <c r="B24" s="23" t="n">
        <f aca="false">B21-B22-B23</f>
        <v>186521.739130435</v>
      </c>
    </row>
    <row r="25" customFormat="false" ht="30" hidden="false" customHeight="true" outlineLevel="0" collapsed="false">
      <c r="A25" s="13" t="s">
        <v>100</v>
      </c>
      <c r="B25" s="23" t="n">
        <f aca="false">B24-B4</f>
        <v>60652.1739130435</v>
      </c>
      <c r="C25" s="8" t="s">
        <v>101</v>
      </c>
    </row>
    <row r="27" customFormat="false" ht="15" hidden="false" customHeight="false" outlineLevel="0" collapsed="false">
      <c r="A27" s="5" t="s">
        <v>102</v>
      </c>
      <c r="B27" s="5"/>
      <c r="C27" s="5"/>
      <c r="D27" s="5"/>
    </row>
    <row r="28" customFormat="false" ht="15" hidden="false" customHeight="false" outlineLevel="0" collapsed="false">
      <c r="A28" s="4" t="s">
        <v>103</v>
      </c>
    </row>
    <row r="29" customFormat="false" ht="15" hidden="false" customHeight="false" outlineLevel="0" collapsed="false">
      <c r="A29" s="6" t="s">
        <v>49</v>
      </c>
      <c r="B29" s="10" t="n">
        <f aca="false">B5</f>
        <v>250000</v>
      </c>
    </row>
    <row r="30" customFormat="false" ht="30" hidden="false" customHeight="true" outlineLevel="0" collapsed="false">
      <c r="A30" s="6" t="s">
        <v>104</v>
      </c>
      <c r="B30" s="11" t="n">
        <v>0.25</v>
      </c>
      <c r="C30" s="8" t="s">
        <v>105</v>
      </c>
    </row>
    <row r="31" customFormat="false" ht="15" hidden="false" customHeight="false" outlineLevel="0" collapsed="false">
      <c r="A31" s="13" t="s">
        <v>106</v>
      </c>
      <c r="B31" s="23" t="n">
        <f aca="false">B29*(1+B30)</f>
        <v>312500</v>
      </c>
    </row>
    <row r="32" customFormat="false" ht="30" hidden="false" customHeight="true" outlineLevel="0" collapsed="false">
      <c r="A32" s="13" t="s">
        <v>107</v>
      </c>
      <c r="B32" s="23" t="n">
        <f aca="false">B31/Supuestos!B5</f>
        <v>62500</v>
      </c>
      <c r="C32" s="8" t="s">
        <v>108</v>
      </c>
    </row>
    <row r="33" customFormat="false" ht="15" hidden="false" customHeight="false" outlineLevel="0" collapsed="false">
      <c r="A33" s="13" t="s">
        <v>109</v>
      </c>
      <c r="B33" s="23" t="n">
        <f aca="false">B32/Supuestos!B22</f>
        <v>15625</v>
      </c>
    </row>
    <row r="34" customFormat="false" ht="15" hidden="false" customHeight="false" outlineLevel="0" collapsed="false">
      <c r="A34" s="6" t="s">
        <v>110</v>
      </c>
      <c r="B34" s="21" t="n">
        <f aca="false">IF(B20=0,0,B31/B20)</f>
        <v>0.0641741071428571</v>
      </c>
    </row>
    <row r="35" customFormat="false" ht="15" hidden="false" customHeight="false" outlineLevel="0" collapsed="false">
      <c r="A35" s="13" t="s">
        <v>111</v>
      </c>
      <c r="B35" s="23" t="n">
        <f aca="false">B21+B31-B22-B23</f>
        <v>499021.739130435</v>
      </c>
    </row>
    <row r="36" customFormat="false" ht="15" hidden="false" customHeight="false" outlineLevel="0" collapsed="false">
      <c r="A36" s="13" t="s">
        <v>100</v>
      </c>
      <c r="B36" s="23" t="n">
        <f aca="false">B35-B4</f>
        <v>373152.173913044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8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1" t="s">
        <v>112</v>
      </c>
    </row>
    <row r="3" customFormat="false" ht="15" hidden="false" customHeight="false" outlineLevel="0" collapsed="false">
      <c r="A3" s="5" t="s">
        <v>113</v>
      </c>
      <c r="B3" s="5"/>
      <c r="C3" s="5"/>
      <c r="D3" s="5"/>
    </row>
    <row r="4" customFormat="false" ht="15" hidden="false" customHeight="false" outlineLevel="0" collapsed="false">
      <c r="A4" s="6" t="s">
        <v>114</v>
      </c>
      <c r="B4" s="19" t="n">
        <f aca="false">Comparacion!C7</f>
        <v>4782608.69565218</v>
      </c>
    </row>
    <row r="5" customFormat="false" ht="15" hidden="false" customHeight="false" outlineLevel="0" collapsed="false">
      <c r="A5" s="6" t="s">
        <v>115</v>
      </c>
      <c r="B5" s="10" t="n">
        <f aca="false">B4*Supuestos!B31/30</f>
        <v>2391304.34782609</v>
      </c>
    </row>
    <row r="6" customFormat="false" ht="31.5" hidden="false" customHeight="true" outlineLevel="0" collapsed="false">
      <c r="A6" s="6" t="s">
        <v>116</v>
      </c>
      <c r="B6" s="10" t="n">
        <f aca="false">B4</f>
        <v>4782608.69565218</v>
      </c>
      <c r="C6" s="8" t="s">
        <v>117</v>
      </c>
    </row>
    <row r="7" customFormat="false" ht="15" hidden="false" customHeight="false" outlineLevel="0" collapsed="false">
      <c r="A7" s="6" t="s">
        <v>118</v>
      </c>
      <c r="B7" s="10" t="n">
        <f aca="false">B4*45/30</f>
        <v>7173913.04347826</v>
      </c>
    </row>
    <row r="8" customFormat="false" ht="15" hidden="false" customHeight="false" outlineLevel="0" collapsed="false">
      <c r="A8" s="6" t="s">
        <v>119</v>
      </c>
      <c r="B8" s="10" t="n">
        <f aca="false">B4*2</f>
        <v>9565217.39130435</v>
      </c>
    </row>
    <row r="9" customFormat="false" ht="15" hidden="false" customHeight="false" outlineLevel="0" collapsed="false">
      <c r="A9" s="6" t="s">
        <v>120</v>
      </c>
      <c r="B9" s="10" t="n">
        <f aca="false">B4*Supuestos!B33*15/30</f>
        <v>83695.6521739131</v>
      </c>
    </row>
    <row r="11" customFormat="false" ht="15" hidden="false" customHeight="false" outlineLevel="0" collapsed="false">
      <c r="A11" s="5" t="s">
        <v>121</v>
      </c>
      <c r="B11" s="5"/>
      <c r="C11" s="5"/>
      <c r="D11" s="5"/>
    </row>
    <row r="12" customFormat="false" ht="15" hidden="false" customHeight="false" outlineLevel="0" collapsed="false">
      <c r="A12" s="6" t="s">
        <v>122</v>
      </c>
      <c r="B12" s="19" t="n">
        <f aca="false">Supuestos!B36</f>
        <v>15000000</v>
      </c>
    </row>
    <row r="13" customFormat="false" ht="15" hidden="false" customHeight="false" outlineLevel="0" collapsed="false">
      <c r="A13" s="6" t="s">
        <v>123</v>
      </c>
      <c r="B13" s="20" t="n">
        <f aca="false">Supuestos!B37</f>
        <v>0.6</v>
      </c>
    </row>
    <row r="14" customFormat="false" ht="15" hidden="false" customHeight="false" outlineLevel="0" collapsed="false">
      <c r="A14" s="6" t="s">
        <v>124</v>
      </c>
      <c r="B14" s="10" t="n">
        <f aca="false">B12*B13</f>
        <v>9000000</v>
      </c>
    </row>
    <row r="15" customFormat="false" ht="15" hidden="false" customHeight="false" outlineLevel="0" collapsed="false">
      <c r="A15" s="6" t="s">
        <v>125</v>
      </c>
      <c r="B15" s="10" t="n">
        <f aca="false">B14/(1+Supuestos!B14)</f>
        <v>8035714.28571428</v>
      </c>
    </row>
    <row r="16" customFormat="false" ht="15" hidden="false" customHeight="false" outlineLevel="0" collapsed="false">
      <c r="A16" s="6" t="s">
        <v>126</v>
      </c>
      <c r="B16" s="10" t="n">
        <f aca="false">B15*Supuestos!B14</f>
        <v>964285.714285714</v>
      </c>
    </row>
    <row r="17" customFormat="false" ht="15" hidden="false" customHeight="false" outlineLevel="0" collapsed="false">
      <c r="A17" s="6" t="s">
        <v>127</v>
      </c>
      <c r="B17" s="10" t="n">
        <f aca="false">B15*Supuestos!B15</f>
        <v>803571.428571429</v>
      </c>
    </row>
    <row r="18" customFormat="false" ht="30" hidden="false" customHeight="true" outlineLevel="0" collapsed="false">
      <c r="A18" s="13" t="s">
        <v>128</v>
      </c>
      <c r="B18" s="23" t="n">
        <f aca="false">B16-B17</f>
        <v>160714.285714286</v>
      </c>
      <c r="C18" s="8" t="s">
        <v>129</v>
      </c>
    </row>
    <row r="19" customFormat="false" ht="15" hidden="false" customHeight="false" outlineLevel="0" collapsed="false">
      <c r="A19" s="13" t="s">
        <v>130</v>
      </c>
      <c r="B19" s="23" t="n">
        <f aca="false">B18*12</f>
        <v>1928571.42857143</v>
      </c>
    </row>
    <row r="21" customFormat="false" ht="15" hidden="false" customHeight="false" outlineLevel="0" collapsed="false">
      <c r="A21" s="5" t="s">
        <v>131</v>
      </c>
      <c r="B21" s="5"/>
      <c r="C21" s="5"/>
      <c r="D21" s="5"/>
    </row>
    <row r="22" customFormat="false" ht="15" hidden="false" customHeight="false" outlineLevel="0" collapsed="false">
      <c r="A22" s="6" t="s">
        <v>132</v>
      </c>
      <c r="B22" s="19" t="n">
        <f aca="false">Comparacion!D12</f>
        <v>-24782.6086956521</v>
      </c>
    </row>
    <row r="23" customFormat="false" ht="15" hidden="false" customHeight="false" outlineLevel="0" collapsed="false">
      <c r="A23" s="6" t="s">
        <v>133</v>
      </c>
      <c r="B23" s="10" t="n">
        <f aca="false">-B18</f>
        <v>-160714.285714286</v>
      </c>
    </row>
    <row r="24" customFormat="false" ht="15" hidden="false" customHeight="false" outlineLevel="0" collapsed="false">
      <c r="A24" s="13" t="s">
        <v>134</v>
      </c>
      <c r="B24" s="23" t="n">
        <f aca="false">B22+B23</f>
        <v>-185496.894409938</v>
      </c>
    </row>
    <row r="25" customFormat="false" ht="15" hidden="false" customHeight="false" outlineLevel="0" collapsed="false">
      <c r="A25" s="13" t="s">
        <v>135</v>
      </c>
      <c r="B25" s="23" t="n">
        <f aca="false">B24*12</f>
        <v>-2225962.73291925</v>
      </c>
    </row>
    <row r="27" customFormat="false" ht="15" hidden="false" customHeight="false" outlineLevel="0" collapsed="false">
      <c r="A27" s="5" t="s">
        <v>136</v>
      </c>
      <c r="B27" s="5"/>
      <c r="C27" s="5"/>
      <c r="D27" s="5"/>
    </row>
    <row r="28" customFormat="false" ht="15" hidden="false" customHeight="false" outlineLevel="0" collapsed="false">
      <c r="A28" s="6" t="s">
        <v>137</v>
      </c>
      <c r="B28" s="10" t="n">
        <f aca="false">Supuestos!B36+Comparacion!C7</f>
        <v>19782608.6956522</v>
      </c>
    </row>
    <row r="29" customFormat="false" ht="27.75" hidden="false" customHeight="true" outlineLevel="0" collapsed="false">
      <c r="A29" s="6" t="s">
        <v>138</v>
      </c>
      <c r="B29" s="28" t="n">
        <f aca="false">IF(B28=0,0,Comparacion!C7/B28)</f>
        <v>0.241758241758242</v>
      </c>
      <c r="C29" s="8" t="s">
        <v>139</v>
      </c>
    </row>
    <row r="30" customFormat="false" ht="15" hidden="false" customHeight="false" outlineLevel="0" collapsed="false">
      <c r="A30" s="6" t="s">
        <v>140</v>
      </c>
      <c r="B30" s="19" t="n">
        <f aca="false">Supuestos!B9</f>
        <v>2000000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9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141</v>
      </c>
    </row>
    <row r="2" customFormat="false" ht="15" hidden="false" customHeight="false" outlineLevel="0" collapsed="false">
      <c r="A2" s="4" t="s">
        <v>142</v>
      </c>
    </row>
    <row r="4" customFormat="false" ht="30" hidden="false" customHeight="true" outlineLevel="0" collapsed="false">
      <c r="A4" s="29" t="s">
        <v>143</v>
      </c>
      <c r="B4" s="30" t="n">
        <v>35000</v>
      </c>
      <c r="C4" s="30" t="n">
        <v>50000</v>
      </c>
      <c r="D4" s="30" t="n">
        <v>65000</v>
      </c>
      <c r="E4" s="30" t="n">
        <v>80000</v>
      </c>
    </row>
    <row r="5" customFormat="false" ht="15" hidden="false" customHeight="false" outlineLevel="0" collapsed="false">
      <c r="A5" s="31" t="n">
        <v>0.13</v>
      </c>
      <c r="B5" s="32" t="n">
        <f aca="false">Supuestos!$B$16*$A5-Supuestos!$B$5*B$4-Supuestos!$B$16*(1+$A5)*Supuestos!$B$33*Supuestos!$B$31/30</f>
        <v>304239.130434783</v>
      </c>
      <c r="C5" s="32" t="n">
        <f aca="false">Supuestos!$B$16*$A5-Supuestos!$B$5*C$4-Supuestos!$B$16*(1+$A5)*Supuestos!$B$33*Supuestos!$B$31/30</f>
        <v>229239.130434783</v>
      </c>
      <c r="D5" s="32" t="n">
        <f aca="false">Supuestos!$B$16*$A5-Supuestos!$B$5*D$4-Supuestos!$B$16*(1+$A5)*Supuestos!$B$33*Supuestos!$B$31/30</f>
        <v>154239.130434783</v>
      </c>
      <c r="E5" s="32" t="n">
        <f aca="false">Supuestos!$B$16*$A5-Supuestos!$B$5*E$4-Supuestos!$B$16*(1+$A5)*Supuestos!$B$33*Supuestos!$B$31/30</f>
        <v>79239.1304347827</v>
      </c>
    </row>
    <row r="6" customFormat="false" ht="15" hidden="false" customHeight="false" outlineLevel="0" collapsed="false">
      <c r="A6" s="31" t="n">
        <v>0.12</v>
      </c>
      <c r="B6" s="32" t="n">
        <f aca="false">Supuestos!$B$16*$A6-Supuestos!$B$5*B$4-Supuestos!$B$16*(1+$A6)*Supuestos!$B$33*Supuestos!$B$31/30</f>
        <v>261521.739130435</v>
      </c>
      <c r="C6" s="32" t="n">
        <f aca="false">Supuestos!$B$16*$A6-Supuestos!$B$5*C$4-Supuestos!$B$16*(1+$A6)*Supuestos!$B$33*Supuestos!$B$31/30</f>
        <v>186521.739130435</v>
      </c>
      <c r="D6" s="32" t="n">
        <f aca="false">Supuestos!$B$16*$A6-Supuestos!$B$5*D$4-Supuestos!$B$16*(1+$A6)*Supuestos!$B$33*Supuestos!$B$31/30</f>
        <v>111521.739130435</v>
      </c>
      <c r="E6" s="32" t="n">
        <f aca="false">Supuestos!$B$16*$A6-Supuestos!$B$5*E$4-Supuestos!$B$16*(1+$A6)*Supuestos!$B$33*Supuestos!$B$31/30</f>
        <v>36521.7391304348</v>
      </c>
    </row>
    <row r="7" customFormat="false" ht="15" hidden="false" customHeight="false" outlineLevel="0" collapsed="false">
      <c r="A7" s="31" t="n">
        <v>0.115</v>
      </c>
      <c r="B7" s="32" t="n">
        <f aca="false">Supuestos!$B$16*$A7-Supuestos!$B$5*B$4-Supuestos!$B$16*(1+$A7)*Supuestos!$B$33*Supuestos!$B$31/30</f>
        <v>240163.043478261</v>
      </c>
      <c r="C7" s="32" t="n">
        <f aca="false">Supuestos!$B$16*$A7-Supuestos!$B$5*C$4-Supuestos!$B$16*(1+$A7)*Supuestos!$B$33*Supuestos!$B$31/30</f>
        <v>165163.043478261</v>
      </c>
      <c r="D7" s="32" t="n">
        <f aca="false">Supuestos!$B$16*$A7-Supuestos!$B$5*D$4-Supuestos!$B$16*(1+$A7)*Supuestos!$B$33*Supuestos!$B$31/30</f>
        <v>90163.043478261</v>
      </c>
      <c r="E7" s="32" t="n">
        <f aca="false">Supuestos!$B$16*$A7-Supuestos!$B$5*E$4-Supuestos!$B$16*(1+$A7)*Supuestos!$B$33*Supuestos!$B$31/30</f>
        <v>15163.043478261</v>
      </c>
    </row>
    <row r="8" customFormat="false" ht="15" hidden="false" customHeight="false" outlineLevel="0" collapsed="false">
      <c r="A8" s="31" t="n">
        <v>0.11</v>
      </c>
      <c r="B8" s="32" t="n">
        <f aca="false">Supuestos!$B$16*$A8-Supuestos!$B$5*B$4-Supuestos!$B$16*(1+$A8)*Supuestos!$B$33*Supuestos!$B$31/30</f>
        <v>218804.347826087</v>
      </c>
      <c r="C8" s="32" t="n">
        <f aca="false">Supuestos!$B$16*$A8-Supuestos!$B$5*C$4-Supuestos!$B$16*(1+$A8)*Supuestos!$B$33*Supuestos!$B$31/30</f>
        <v>143804.347826087</v>
      </c>
      <c r="D8" s="32" t="n">
        <f aca="false">Supuestos!$B$16*$A8-Supuestos!$B$5*D$4-Supuestos!$B$16*(1+$A8)*Supuestos!$B$33*Supuestos!$B$31/30</f>
        <v>68804.347826087</v>
      </c>
      <c r="E8" s="32" t="n">
        <f aca="false">Supuestos!$B$16*$A8-Supuestos!$B$5*E$4-Supuestos!$B$16*(1+$A8)*Supuestos!$B$33*Supuestos!$B$31/30</f>
        <v>-6195.652173913</v>
      </c>
    </row>
    <row r="9" customFormat="false" ht="15" hidden="false" customHeight="false" outlineLevel="0" collapsed="false">
      <c r="A9" s="31" t="n">
        <v>0.105</v>
      </c>
      <c r="B9" s="32" t="n">
        <f aca="false">Supuestos!$B$16*$A9-Supuestos!$B$5*B$4-Supuestos!$B$16*(1+$A9)*Supuestos!$B$33*Supuestos!$B$31/30</f>
        <v>197445.652173913</v>
      </c>
      <c r="C9" s="32" t="n">
        <f aca="false">Supuestos!$B$16*$A9-Supuestos!$B$5*C$4-Supuestos!$B$16*(1+$A9)*Supuestos!$B$33*Supuestos!$B$31/30</f>
        <v>122445.652173913</v>
      </c>
      <c r="D9" s="32" t="n">
        <f aca="false">Supuestos!$B$16*$A9-Supuestos!$B$5*D$4-Supuestos!$B$16*(1+$A9)*Supuestos!$B$33*Supuestos!$B$31/30</f>
        <v>47445.6521739131</v>
      </c>
      <c r="E9" s="32" t="n">
        <f aca="false">Supuestos!$B$16*$A9-Supuestos!$B$5*E$4-Supuestos!$B$16*(1+$A9)*Supuestos!$B$33*Supuestos!$B$31/30</f>
        <v>-27554.3478260869</v>
      </c>
    </row>
    <row r="10" customFormat="false" ht="15" hidden="false" customHeight="false" outlineLevel="0" collapsed="false">
      <c r="A10" s="31" t="n">
        <v>0.1</v>
      </c>
      <c r="B10" s="32" t="n">
        <f aca="false">Supuestos!$B$16*$A10-Supuestos!$B$5*B$4-Supuestos!$B$16*(1+$A10)*Supuestos!$B$33*Supuestos!$B$31/30</f>
        <v>176086.956521739</v>
      </c>
      <c r="C10" s="32" t="n">
        <f aca="false">Supuestos!$B$16*$A10-Supuestos!$B$5*C$4-Supuestos!$B$16*(1+$A10)*Supuestos!$B$33*Supuestos!$B$31/30</f>
        <v>101086.956521739</v>
      </c>
      <c r="D10" s="32" t="n">
        <f aca="false">Supuestos!$B$16*$A10-Supuestos!$B$5*D$4-Supuestos!$B$16*(1+$A10)*Supuestos!$B$33*Supuestos!$B$31/30</f>
        <v>26086.9565217392</v>
      </c>
      <c r="E10" s="32" t="n">
        <f aca="false">Supuestos!$B$16*$A10-Supuestos!$B$5*E$4-Supuestos!$B$16*(1+$A10)*Supuestos!$B$33*Supuestos!$B$31/30</f>
        <v>-48913.0434782608</v>
      </c>
    </row>
    <row r="11" customFormat="false" ht="15" hidden="false" customHeight="false" outlineLevel="0" collapsed="false">
      <c r="A11" s="31" t="n">
        <v>0.095</v>
      </c>
      <c r="B11" s="32" t="n">
        <f aca="false">Supuestos!$B$16*$A11-Supuestos!$B$5*B$4-Supuestos!$B$16*(1+$A11)*Supuestos!$B$33*Supuestos!$B$31/30</f>
        <v>154728.260869565</v>
      </c>
      <c r="C11" s="32" t="n">
        <f aca="false">Supuestos!$B$16*$A11-Supuestos!$B$5*C$4-Supuestos!$B$16*(1+$A11)*Supuestos!$B$33*Supuestos!$B$31/30</f>
        <v>79728.2608695653</v>
      </c>
      <c r="D11" s="32" t="n">
        <f aca="false">Supuestos!$B$16*$A11-Supuestos!$B$5*D$4-Supuestos!$B$16*(1+$A11)*Supuestos!$B$33*Supuestos!$B$31/30</f>
        <v>4728.26086956526</v>
      </c>
      <c r="E11" s="32" t="n">
        <f aca="false">Supuestos!$B$16*$A11-Supuestos!$B$5*E$4-Supuestos!$B$16*(1+$A11)*Supuestos!$B$33*Supuestos!$B$31/30</f>
        <v>-70271.7391304347</v>
      </c>
    </row>
    <row r="13" customFormat="false" ht="15" hidden="false" customHeight="false" outlineLevel="0" collapsed="false">
      <c r="A13" s="33" t="s">
        <v>144</v>
      </c>
    </row>
    <row r="14" customFormat="false" ht="30" hidden="false" customHeight="true" outlineLevel="0" collapsed="false">
      <c r="A14" s="6" t="s">
        <v>91</v>
      </c>
      <c r="B14" s="27" t="n">
        <f aca="false">Supuestos!B15</f>
        <v>0.1</v>
      </c>
      <c r="F14" s="8" t="s">
        <v>145</v>
      </c>
    </row>
    <row r="15" customFormat="false" ht="15" hidden="false" customHeight="false" outlineLevel="0" collapsed="false">
      <c r="A15" s="6" t="s">
        <v>146</v>
      </c>
      <c r="B15" s="27" t="n">
        <f aca="false">Punto_Indiferencia!B12</f>
        <v>0.105801526717557</v>
      </c>
    </row>
    <row r="16" customFormat="false" ht="15" hidden="false" customHeight="false" outlineLevel="0" collapsed="false">
      <c r="A16" s="6" t="s">
        <v>92</v>
      </c>
      <c r="B16" s="27" t="n">
        <f aca="false">Supuestos!B14</f>
        <v>0.12</v>
      </c>
    </row>
    <row r="17" customFormat="false" ht="23.85" hidden="false" customHeight="false" outlineLevel="0" collapsed="false">
      <c r="A17" s="6" t="s">
        <v>147</v>
      </c>
      <c r="B17" s="19" t="n">
        <f aca="false">Supuestos!B26</f>
        <v>50000</v>
      </c>
    </row>
    <row r="18" customFormat="false" ht="23.85" hidden="false" customHeight="false" outlineLevel="0" collapsed="false">
      <c r="A18" s="6" t="s">
        <v>148</v>
      </c>
      <c r="B18" s="19" t="n">
        <f aca="false">Comparacion!B12</f>
        <v>125869.565217391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2026-08-01T20:41:10Z</dcterms:created>
  <dc:creator>openpyxl</dc:creator>
  <dc:description/>
  <dc:language>en-US</dc:language>
  <cp:lastModifiedBy/>
  <dcterms:modified xsi:type="dcterms:W3CDTF">2026-08-01T20:41:10Z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